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<sst xmlns="http://schemas.openxmlformats.org/spreadsheetml/2006/main" count="51" uniqueCount="44">
  <si>
    <t>Вхідні дані</t>
  </si>
  <si>
    <t>Місяць</t>
  </si>
  <si>
    <t>Початкові заощадження</t>
  </si>
  <si>
    <t>Основний дохід</t>
  </si>
  <si>
    <t>Додатковий дохід</t>
  </si>
  <si>
    <t>Репетиторство</t>
  </si>
  <si>
    <t>Фриланс</t>
  </si>
  <si>
    <t>Витрати</t>
  </si>
  <si>
    <t>Фіксовані витрати</t>
  </si>
  <si>
    <t>Оренда</t>
  </si>
  <si>
    <t>Комунальні</t>
  </si>
  <si>
    <t>Харчування</t>
  </si>
  <si>
    <t>Побутові засоби</t>
  </si>
  <si>
    <t>Транспорт</t>
  </si>
  <si>
    <t>Інтернет</t>
  </si>
  <si>
    <t>Мобільний зв'язок</t>
  </si>
  <si>
    <t>Підписки (Netflix, Spotify, YT Premium)</t>
  </si>
  <si>
    <t>Змінні витрати</t>
  </si>
  <si>
    <t>Кафе / Перекуси</t>
  </si>
  <si>
    <t>Розваги</t>
  </si>
  <si>
    <t>Необов'язкові продукти</t>
  </si>
  <si>
    <t>Імпульсивні витрати</t>
  </si>
  <si>
    <t>Одяг</t>
  </si>
  <si>
    <t>Онлайн-шоппінг</t>
  </si>
  <si>
    <t>Ймовірність зриву</t>
  </si>
  <si>
    <t>Дохід</t>
  </si>
  <si>
    <t>Відкладання на чорний день (лікування, ДТП)</t>
  </si>
  <si>
    <t>Невеличкі нагороди за 4 місяці без зриву</t>
  </si>
  <si>
    <t>Підсумковий дохід</t>
  </si>
  <si>
    <t>Важелі</t>
  </si>
  <si>
    <t>Автопереказ</t>
  </si>
  <si>
    <t>Заощадження на чорний день</t>
  </si>
  <si>
    <t>Нагороди за 4 місяці без зриву</t>
  </si>
  <si>
    <t>Retention (позитивний)</t>
  </si>
  <si>
    <t>Retention (реалістичний)</t>
  </si>
  <si>
    <t>Retention (песимістичний)</t>
  </si>
  <si>
    <t>Оптимістичний прогноз</t>
  </si>
  <si>
    <t>Реалістичний прогноз</t>
  </si>
  <si>
    <t>Песимістичний прогноз</t>
  </si>
  <si>
    <t>Ціль</t>
  </si>
  <si>
    <t>Потенціал накопичення</t>
  </si>
  <si>
    <t>Кількість місяців</t>
  </si>
  <si>
    <t>Retention (оптимістичний)</t>
  </si>
  <si>
    <t>Retention — це частка місяців, у яких я залишаюсь у системі накопичення, навіть якщо відкладаю менше запланованого.
Ризики churn-rate:
1) Форс-мажор, неочікуване лікування
Мінімізація: Додатково відкладати гроші в окремий фонд на такий випадок.
2) Емоційне вигорання
Мінімізація: мікро-нагороди кожні 4 місяці
3) Перфекціонізм (не можу викласти повну суму -&gt; не відкладаю взагалі)
Мінімізація: відкладати малу суму, головне більшу за нуль.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</si>
</sst>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€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2" fontId="1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3" fillId="6" fontId="1" numFmtId="0" xfId="0" applyAlignment="1" applyBorder="1" applyFill="1" applyFont="1">
      <alignment readingOrder="0"/>
    </xf>
    <xf borderId="3" fillId="7" fontId="1" numFmtId="0" xfId="0" applyAlignment="1" applyBorder="1" applyFill="1" applyFont="1">
      <alignment readingOrder="0"/>
    </xf>
    <xf borderId="3" fillId="8" fontId="1" numFmtId="0" xfId="0" applyAlignment="1" applyBorder="1" applyFill="1" applyFont="1">
      <alignment readingOrder="0"/>
    </xf>
    <xf borderId="3" fillId="9" fontId="1" numFmtId="0" xfId="0" applyAlignment="1" applyBorder="1" applyFill="1" applyFont="1">
      <alignment readingOrder="0"/>
    </xf>
    <xf borderId="3" fillId="10" fontId="1" numFmtId="0" xfId="0" applyAlignment="1" applyBorder="1" applyFill="1" applyFont="1">
      <alignment readingOrder="0"/>
    </xf>
    <xf borderId="3" fillId="11" fontId="1" numFmtId="0" xfId="0" applyAlignment="1" applyBorder="1" applyFill="1" applyFont="1">
      <alignment readingOrder="0"/>
    </xf>
    <xf borderId="3" fillId="12" fontId="1" numFmtId="0" xfId="0" applyAlignment="1" applyBorder="1" applyFill="1" applyFont="1">
      <alignment readingOrder="0"/>
    </xf>
    <xf borderId="3" fillId="13" fontId="1" numFmtId="0" xfId="0" applyAlignment="1" applyBorder="1" applyFill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2" fontId="1" numFmtId="164" xfId="0" applyAlignment="1" applyBorder="1" applyFont="1" applyNumberFormat="1">
      <alignment readingOrder="0"/>
    </xf>
    <xf borderId="3" fillId="2" fontId="1" numFmtId="164" xfId="0" applyAlignment="1" applyBorder="1" applyFont="1" applyNumberFormat="1">
      <alignment horizontal="right" readingOrder="0"/>
    </xf>
    <xf borderId="3" fillId="3" fontId="1" numFmtId="164" xfId="0" applyAlignment="1" applyBorder="1" applyFont="1" applyNumberFormat="1">
      <alignment horizontal="right" readingOrder="0"/>
    </xf>
    <xf borderId="3" fillId="4" fontId="1" numFmtId="164" xfId="0" applyBorder="1" applyFont="1" applyNumberFormat="1"/>
    <xf borderId="3" fillId="5" fontId="1" numFmtId="164" xfId="0" applyBorder="1" applyFont="1" applyNumberFormat="1"/>
    <xf borderId="3" fillId="6" fontId="1" numFmtId="164" xfId="0" applyAlignment="1" applyBorder="1" applyFont="1" applyNumberFormat="1">
      <alignment horizontal="right" readingOrder="0"/>
    </xf>
    <xf borderId="3" fillId="5" fontId="1" numFmtId="164" xfId="0" applyAlignment="1" applyBorder="1" applyFont="1" applyNumberFormat="1">
      <alignment horizontal="right" readingOrder="0"/>
    </xf>
    <xf borderId="3" fillId="6" fontId="1" numFmtId="164" xfId="0" applyBorder="1" applyFont="1" applyNumberFormat="1"/>
    <xf borderId="3" fillId="0" fontId="1" numFmtId="4" xfId="0" applyAlignment="1" applyBorder="1" applyFont="1" applyNumberFormat="1">
      <alignment readingOrder="0"/>
    </xf>
    <xf borderId="3" fillId="3" fontId="1" numFmtId="164" xfId="0" applyAlignment="1" applyBorder="1" applyFont="1" applyNumberFormat="1">
      <alignment readingOrder="0"/>
    </xf>
    <xf borderId="3" fillId="7" fontId="1" numFmtId="164" xfId="0" applyAlignment="1" applyBorder="1" applyFont="1" applyNumberFormat="1">
      <alignment horizontal="right" readingOrder="0"/>
    </xf>
    <xf borderId="3" fillId="0" fontId="1" numFmtId="0" xfId="0" applyBorder="1" applyFont="1"/>
    <xf borderId="3" fillId="2" fontId="1" numFmtId="164" xfId="0" applyBorder="1" applyFont="1" applyNumberFormat="1"/>
    <xf borderId="3" fillId="8" fontId="1" numFmtId="0" xfId="0" applyBorder="1" applyFont="1"/>
    <xf borderId="3" fillId="3" fontId="1" numFmtId="164" xfId="0" applyBorder="1" applyFont="1" applyNumberFormat="1"/>
    <xf borderId="3" fillId="10" fontId="1" numFmtId="164" xfId="0" applyAlignment="1" applyBorder="1" applyFont="1" applyNumberFormat="1">
      <alignment readingOrder="0"/>
    </xf>
    <xf borderId="3" fillId="11" fontId="1" numFmtId="164" xfId="0" applyBorder="1" applyFont="1" applyNumberFormat="1"/>
    <xf borderId="3" fillId="12" fontId="1" numFmtId="164" xfId="0" applyAlignment="1" applyBorder="1" applyFont="1" applyNumberFormat="1">
      <alignment readingOrder="0"/>
    </xf>
    <xf borderId="3" fillId="10" fontId="1" numFmtId="164" xfId="0" applyBorder="1" applyFont="1" applyNumberFormat="1"/>
    <xf borderId="3" fillId="0" fontId="1" numFmtId="164" xfId="0" applyAlignment="1" applyBorder="1" applyFont="1" applyNumberFormat="1">
      <alignment horizontal="right" readingOrder="0"/>
    </xf>
    <xf borderId="3" fillId="13" fontId="1" numFmtId="164" xfId="0" applyAlignment="1" applyBorder="1" applyFont="1" applyNumberFormat="1">
      <alignment horizontal="right" readingOrder="0"/>
    </xf>
    <xf borderId="3" fillId="0" fontId="1" numFmtId="164" xfId="0" applyBorder="1" applyFont="1" applyNumberFormat="1"/>
    <xf borderId="3" fillId="12" fontId="1" numFmtId="164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Оптимістичний прогноз, Реалістичний прогноз, Песимістичний прогноз and Ціль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Sheet1!$AO$1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Sheet1!$F$2:$F$25</c:f>
            </c:strRef>
          </c:cat>
          <c:val>
            <c:numRef>
              <c:f>Sheet1!$AO$2:$AO$25</c:f>
              <c:numCache/>
            </c:numRef>
          </c:val>
          <c:smooth val="0"/>
        </c:ser>
        <c:ser>
          <c:idx val="1"/>
          <c:order val="1"/>
          <c:tx>
            <c:strRef>
              <c:f>Sheet1!$AP$1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Sheet1!$F$2:$F$25</c:f>
            </c:strRef>
          </c:cat>
          <c:val>
            <c:numRef>
              <c:f>Sheet1!$AP$2:$AP$25</c:f>
              <c:numCache/>
            </c:numRef>
          </c:val>
          <c:smooth val="0"/>
        </c:ser>
        <c:ser>
          <c:idx val="2"/>
          <c:order val="2"/>
          <c:tx>
            <c:strRef>
              <c:f>Sheet1!$AQ$1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Sheet1!$F$2:$F$25</c:f>
            </c:strRef>
          </c:cat>
          <c:val>
            <c:numRef>
              <c:f>Sheet1!$AQ$2:$AQ$25</c:f>
              <c:numCache/>
            </c:numRef>
          </c:val>
          <c:smooth val="0"/>
        </c:ser>
        <c:ser>
          <c:idx val="3"/>
          <c:order val="3"/>
          <c:tx>
            <c:strRef>
              <c:f>Sheet1!$AR$1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Sheet1!$F$2:$F$25</c:f>
            </c:strRef>
          </c:cat>
          <c:val>
            <c:numRef>
              <c:f>Sheet1!$AR$2:$AR$25</c:f>
              <c:numCache/>
            </c:numRef>
          </c:val>
          <c:smooth val="0"/>
        </c:ser>
        <c:axId val="1339868584"/>
        <c:axId val="1827722656"/>
      </c:lineChart>
      <c:catAx>
        <c:axId val="1339868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Місяць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7722656"/>
      </c:catAx>
      <c:valAx>
        <c:axId val="1827722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9868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5" max="5" width="21.0"/>
    <col customWidth="1" min="6" max="6" width="6.75"/>
    <col customWidth="1" min="7" max="7" width="20.38"/>
    <col customWidth="1" min="8" max="8" width="14.5"/>
    <col customWidth="1" min="9" max="9" width="16.13"/>
    <col customWidth="1" min="10" max="10" width="13.25"/>
    <col customWidth="1" min="11" max="11" width="9.0"/>
    <col customWidth="1" min="12" max="12" width="9.63"/>
    <col customWidth="1" min="13" max="13" width="15.38"/>
    <col customWidth="1" min="14" max="14" width="8.5"/>
    <col customWidth="1" min="15" max="15" width="10.5"/>
    <col customWidth="1" min="16" max="16" width="11.25"/>
    <col customWidth="1" min="17" max="17" width="14.88"/>
    <col customWidth="1" min="18" max="18" width="10.88"/>
    <col customWidth="1" min="19" max="19" width="9.0"/>
    <col customWidth="1" min="20" max="20" width="15.63"/>
    <col customWidth="1" min="21" max="21" width="31.13"/>
    <col customWidth="1" min="22" max="22" width="13.75"/>
    <col customWidth="1" min="23" max="23" width="15.0"/>
    <col customWidth="1" min="24" max="24" width="8.75"/>
    <col customWidth="1" min="25" max="25" width="20.38"/>
    <col customWidth="1" min="26" max="26" width="18.0"/>
    <col customWidth="1" min="27" max="27" width="6.5"/>
    <col customWidth="1" min="28" max="28" width="14.88"/>
    <col customWidth="1" min="29" max="29" width="16.0"/>
    <col customWidth="1" min="30" max="30" width="16.5"/>
    <col customWidth="1" min="31" max="31" width="37.38"/>
    <col customWidth="1" min="32" max="32" width="33.13"/>
    <col customWidth="1" min="33" max="33" width="16.5"/>
    <col customWidth="1" min="34" max="34" width="8.0"/>
    <col customWidth="1" min="35" max="35" width="11.38"/>
    <col customWidth="1" min="36" max="36" width="25.75"/>
    <col customWidth="1" min="37" max="37" width="26.0"/>
    <col customWidth="1" min="38" max="38" width="19.13"/>
    <col customWidth="1" min="39" max="39" width="20.5"/>
    <col customWidth="1" min="40" max="40" width="21.38"/>
    <col customWidth="1" min="41" max="41" width="19.5"/>
    <col customWidth="1" min="42" max="42" width="18.88"/>
    <col customWidth="1" min="43" max="43" width="19.88"/>
    <col customWidth="1" min="44" max="44" width="10.88"/>
  </cols>
  <sheetData>
    <row r="1">
      <c r="A1" s="1" t="s">
        <v>0</v>
      </c>
      <c r="B1" s="2"/>
      <c r="F1" s="3" t="s">
        <v>1</v>
      </c>
      <c r="G1" s="3" t="s">
        <v>2</v>
      </c>
      <c r="H1" s="4" t="s">
        <v>3</v>
      </c>
      <c r="I1" s="4" t="s">
        <v>4</v>
      </c>
      <c r="J1" s="5" t="s">
        <v>5</v>
      </c>
      <c r="K1" s="5" t="s">
        <v>6</v>
      </c>
      <c r="L1" s="6" t="s">
        <v>7</v>
      </c>
      <c r="M1" s="7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7" t="s">
        <v>17</v>
      </c>
      <c r="W1" s="8" t="s">
        <v>18</v>
      </c>
      <c r="X1" s="8" t="s">
        <v>19</v>
      </c>
      <c r="Y1" s="7" t="s">
        <v>20</v>
      </c>
      <c r="Z1" s="8" t="s">
        <v>21</v>
      </c>
      <c r="AA1" s="8" t="s">
        <v>22</v>
      </c>
      <c r="AB1" s="8" t="s">
        <v>23</v>
      </c>
      <c r="AC1" s="3" t="s">
        <v>24</v>
      </c>
      <c r="AD1" s="5" t="s">
        <v>25</v>
      </c>
      <c r="AE1" s="9" t="s">
        <v>26</v>
      </c>
      <c r="AF1" s="3" t="s">
        <v>27</v>
      </c>
      <c r="AG1" s="4" t="s">
        <v>28</v>
      </c>
      <c r="AH1" s="10" t="s">
        <v>29</v>
      </c>
      <c r="AI1" s="11" t="s">
        <v>30</v>
      </c>
      <c r="AJ1" s="11" t="s">
        <v>31</v>
      </c>
      <c r="AK1" s="11" t="s">
        <v>32</v>
      </c>
      <c r="AL1" s="5" t="s">
        <v>33</v>
      </c>
      <c r="AM1" s="12" t="s">
        <v>34</v>
      </c>
      <c r="AN1" s="13" t="s">
        <v>35</v>
      </c>
      <c r="AO1" s="5" t="s">
        <v>36</v>
      </c>
      <c r="AP1" s="12" t="s">
        <v>37</v>
      </c>
      <c r="AQ1" s="13" t="s">
        <v>38</v>
      </c>
      <c r="AR1" s="14" t="s">
        <v>39</v>
      </c>
    </row>
    <row r="2">
      <c r="A2" s="15" t="s">
        <v>2</v>
      </c>
      <c r="B2" s="16">
        <v>1000.0</v>
      </c>
      <c r="F2" s="3">
        <v>1.0</v>
      </c>
      <c r="G2" s="16">
        <v>1000.0</v>
      </c>
      <c r="H2" s="17">
        <v>1200.0</v>
      </c>
      <c r="I2" s="18">
        <f t="shared" ref="I2:I25" si="1">J2+K2</f>
        <v>200</v>
      </c>
      <c r="J2" s="19">
        <v>100.0</v>
      </c>
      <c r="K2" s="19">
        <v>100.0</v>
      </c>
      <c r="L2" s="20">
        <f t="shared" ref="L2:L25" si="2">M2+V2+Y2</f>
        <v>1000</v>
      </c>
      <c r="M2" s="21">
        <f t="shared" ref="M2:M25" si="3">SUM(N2:U2)</f>
        <v>860</v>
      </c>
      <c r="N2" s="22">
        <v>500.0</v>
      </c>
      <c r="O2" s="22">
        <v>80.0</v>
      </c>
      <c r="P2" s="22">
        <v>110.0</v>
      </c>
      <c r="Q2" s="22">
        <v>40.0</v>
      </c>
      <c r="R2" s="22">
        <v>80.0</v>
      </c>
      <c r="S2" s="22">
        <v>20.0</v>
      </c>
      <c r="T2" s="22">
        <v>10.0</v>
      </c>
      <c r="U2" s="22">
        <v>20.0</v>
      </c>
      <c r="V2" s="21">
        <f t="shared" ref="V2:V25" si="4">SUM(W2:Y2)</f>
        <v>90</v>
      </c>
      <c r="W2" s="22">
        <v>25.0</v>
      </c>
      <c r="X2" s="22">
        <v>15.0</v>
      </c>
      <c r="Y2" s="23">
        <v>50.0</v>
      </c>
      <c r="Z2" s="24">
        <f t="shared" ref="Z2:Z25" si="5">SUM(AA2:AB2)</f>
        <v>55</v>
      </c>
      <c r="AA2" s="22">
        <v>30.0</v>
      </c>
      <c r="AB2" s="22">
        <v>25.0</v>
      </c>
      <c r="AC2" s="25">
        <v>0.15</v>
      </c>
      <c r="AD2" s="26">
        <f t="shared" ref="AD2:AD25" si="6">H2+I2-L2</f>
        <v>400</v>
      </c>
      <c r="AE2" s="27">
        <v>10.0</v>
      </c>
      <c r="AF2" s="28"/>
      <c r="AG2" s="29">
        <f t="shared" ref="AG2:AG25" si="7">AD2-AE2-AF2</f>
        <v>390</v>
      </c>
      <c r="AH2" s="30">
        <f t="shared" ref="AH2:AH25" si="8">SUM(AI2:AK2)</f>
        <v>0.95</v>
      </c>
      <c r="AI2" s="11">
        <v>0.6</v>
      </c>
      <c r="AJ2" s="11">
        <v>0.2</v>
      </c>
      <c r="AK2" s="11">
        <v>0.15</v>
      </c>
      <c r="AL2" s="5">
        <v>0.95</v>
      </c>
      <c r="AM2" s="12">
        <v>0.8</v>
      </c>
      <c r="AN2" s="13">
        <v>0.6</v>
      </c>
      <c r="AO2" s="31">
        <f>G2+AL2*AG2</f>
        <v>1370.5</v>
      </c>
      <c r="AP2" s="32">
        <f>G2+AM2*AG2</f>
        <v>1312</v>
      </c>
      <c r="AQ2" s="33">
        <f>G2+AN2*AG2</f>
        <v>1234</v>
      </c>
      <c r="AR2" s="34">
        <v>10000.0</v>
      </c>
    </row>
    <row r="3">
      <c r="A3" s="15" t="s">
        <v>3</v>
      </c>
      <c r="B3" s="16">
        <v>1200.0</v>
      </c>
      <c r="F3" s="3">
        <v>2.0</v>
      </c>
      <c r="G3" s="28"/>
      <c r="H3" s="17">
        <v>1200.0</v>
      </c>
      <c r="I3" s="18">
        <f t="shared" si="1"/>
        <v>200</v>
      </c>
      <c r="J3" s="19">
        <v>100.0</v>
      </c>
      <c r="K3" s="19">
        <v>100.0</v>
      </c>
      <c r="L3" s="20">
        <f t="shared" si="2"/>
        <v>1000</v>
      </c>
      <c r="M3" s="21">
        <f t="shared" si="3"/>
        <v>860</v>
      </c>
      <c r="N3" s="22">
        <v>500.0</v>
      </c>
      <c r="O3" s="22">
        <v>80.0</v>
      </c>
      <c r="P3" s="22">
        <v>110.0</v>
      </c>
      <c r="Q3" s="22">
        <v>40.0</v>
      </c>
      <c r="R3" s="22">
        <v>80.0</v>
      </c>
      <c r="S3" s="22">
        <v>20.0</v>
      </c>
      <c r="T3" s="22">
        <v>10.0</v>
      </c>
      <c r="U3" s="22">
        <v>20.0</v>
      </c>
      <c r="V3" s="21">
        <f t="shared" si="4"/>
        <v>90</v>
      </c>
      <c r="W3" s="22">
        <v>25.0</v>
      </c>
      <c r="X3" s="22">
        <v>15.0</v>
      </c>
      <c r="Y3" s="23">
        <v>50.0</v>
      </c>
      <c r="Z3" s="24">
        <f t="shared" si="5"/>
        <v>55</v>
      </c>
      <c r="AA3" s="22">
        <v>30.0</v>
      </c>
      <c r="AB3" s="22">
        <v>25.0</v>
      </c>
      <c r="AC3" s="25">
        <v>0.15</v>
      </c>
      <c r="AD3" s="26">
        <f t="shared" si="6"/>
        <v>400</v>
      </c>
      <c r="AE3" s="27"/>
      <c r="AF3" s="28"/>
      <c r="AG3" s="29">
        <f t="shared" si="7"/>
        <v>400</v>
      </c>
      <c r="AH3" s="30">
        <f t="shared" si="8"/>
        <v>0.95</v>
      </c>
      <c r="AI3" s="11">
        <v>0.6</v>
      </c>
      <c r="AJ3" s="11">
        <v>0.2</v>
      </c>
      <c r="AK3" s="11">
        <v>0.15</v>
      </c>
      <c r="AL3" s="5">
        <v>0.95</v>
      </c>
      <c r="AM3" s="12">
        <v>0.8</v>
      </c>
      <c r="AN3" s="13">
        <v>0.6</v>
      </c>
      <c r="AO3" s="31">
        <f t="shared" ref="AO3:AO25" si="9">AO2+AL3*AG3</f>
        <v>1750.5</v>
      </c>
      <c r="AP3" s="35">
        <f t="shared" ref="AP3:AP25" si="10">AP2+AM3*AG3</f>
        <v>1632</v>
      </c>
      <c r="AQ3" s="33">
        <f t="shared" ref="AQ3:AQ25" si="11">AQ2+AN3*AG3</f>
        <v>1474</v>
      </c>
      <c r="AR3" s="34">
        <v>10000.0</v>
      </c>
    </row>
    <row r="4">
      <c r="A4" s="15" t="s">
        <v>4</v>
      </c>
      <c r="B4" s="36">
        <v>150.0</v>
      </c>
      <c r="F4" s="3">
        <v>3.0</v>
      </c>
      <c r="G4" s="28"/>
      <c r="H4" s="17">
        <v>1200.0</v>
      </c>
      <c r="I4" s="18">
        <f t="shared" si="1"/>
        <v>200</v>
      </c>
      <c r="J4" s="19">
        <v>100.0</v>
      </c>
      <c r="K4" s="19">
        <v>100.0</v>
      </c>
      <c r="L4" s="20">
        <f t="shared" si="2"/>
        <v>1000</v>
      </c>
      <c r="M4" s="21">
        <f t="shared" si="3"/>
        <v>860</v>
      </c>
      <c r="N4" s="22">
        <v>500.0</v>
      </c>
      <c r="O4" s="22">
        <v>80.0</v>
      </c>
      <c r="P4" s="22">
        <v>110.0</v>
      </c>
      <c r="Q4" s="22">
        <v>40.0</v>
      </c>
      <c r="R4" s="22">
        <v>80.0</v>
      </c>
      <c r="S4" s="22">
        <v>20.0</v>
      </c>
      <c r="T4" s="22">
        <v>10.0</v>
      </c>
      <c r="U4" s="22">
        <v>20.0</v>
      </c>
      <c r="V4" s="21">
        <f t="shared" si="4"/>
        <v>90</v>
      </c>
      <c r="W4" s="22">
        <v>25.0</v>
      </c>
      <c r="X4" s="22">
        <v>15.0</v>
      </c>
      <c r="Y4" s="23">
        <v>50.0</v>
      </c>
      <c r="Z4" s="24">
        <f t="shared" si="5"/>
        <v>55</v>
      </c>
      <c r="AA4" s="22">
        <v>30.0</v>
      </c>
      <c r="AB4" s="22">
        <v>25.0</v>
      </c>
      <c r="AC4" s="25">
        <v>0.15</v>
      </c>
      <c r="AD4" s="26">
        <f t="shared" si="6"/>
        <v>400</v>
      </c>
      <c r="AE4" s="27"/>
      <c r="AF4" s="28"/>
      <c r="AG4" s="29">
        <f t="shared" si="7"/>
        <v>400</v>
      </c>
      <c r="AH4" s="30">
        <f t="shared" si="8"/>
        <v>0.95</v>
      </c>
      <c r="AI4" s="11">
        <v>0.6</v>
      </c>
      <c r="AJ4" s="11">
        <v>0.2</v>
      </c>
      <c r="AK4" s="11">
        <v>0.15</v>
      </c>
      <c r="AL4" s="5">
        <v>0.95</v>
      </c>
      <c r="AM4" s="12">
        <v>0.8</v>
      </c>
      <c r="AN4" s="13">
        <v>0.6</v>
      </c>
      <c r="AO4" s="31">
        <f t="shared" si="9"/>
        <v>2130.5</v>
      </c>
      <c r="AP4" s="35">
        <f t="shared" si="10"/>
        <v>1952</v>
      </c>
      <c r="AQ4" s="33">
        <f t="shared" si="11"/>
        <v>1714</v>
      </c>
      <c r="AR4" s="34">
        <v>10000.0</v>
      </c>
    </row>
    <row r="5">
      <c r="A5" s="15" t="s">
        <v>7</v>
      </c>
      <c r="B5" s="16">
        <v>1000.0</v>
      </c>
      <c r="F5" s="3">
        <v>4.0</v>
      </c>
      <c r="G5" s="28"/>
      <c r="H5" s="17">
        <v>1200.0</v>
      </c>
      <c r="I5" s="18">
        <f t="shared" si="1"/>
        <v>200</v>
      </c>
      <c r="J5" s="19">
        <v>100.0</v>
      </c>
      <c r="K5" s="19">
        <v>100.0</v>
      </c>
      <c r="L5" s="20">
        <f t="shared" si="2"/>
        <v>1000</v>
      </c>
      <c r="M5" s="21">
        <f t="shared" si="3"/>
        <v>860</v>
      </c>
      <c r="N5" s="22">
        <v>500.0</v>
      </c>
      <c r="O5" s="22">
        <v>80.0</v>
      </c>
      <c r="P5" s="22">
        <v>110.0</v>
      </c>
      <c r="Q5" s="22">
        <v>40.0</v>
      </c>
      <c r="R5" s="22">
        <v>80.0</v>
      </c>
      <c r="S5" s="22">
        <v>20.0</v>
      </c>
      <c r="T5" s="22">
        <v>10.0</v>
      </c>
      <c r="U5" s="22">
        <v>20.0</v>
      </c>
      <c r="V5" s="21">
        <f t="shared" si="4"/>
        <v>90</v>
      </c>
      <c r="W5" s="22">
        <v>25.0</v>
      </c>
      <c r="X5" s="22">
        <v>15.0</v>
      </c>
      <c r="Y5" s="23">
        <v>50.0</v>
      </c>
      <c r="Z5" s="24">
        <f t="shared" si="5"/>
        <v>55</v>
      </c>
      <c r="AA5" s="22">
        <v>30.0</v>
      </c>
      <c r="AB5" s="22">
        <v>25.0</v>
      </c>
      <c r="AC5" s="25">
        <v>0.15</v>
      </c>
      <c r="AD5" s="26">
        <f t="shared" si="6"/>
        <v>400</v>
      </c>
      <c r="AE5" s="27">
        <v>10.0</v>
      </c>
      <c r="AF5" s="37">
        <v>5.0</v>
      </c>
      <c r="AG5" s="29">
        <f t="shared" si="7"/>
        <v>385</v>
      </c>
      <c r="AH5" s="30">
        <f t="shared" si="8"/>
        <v>0.95</v>
      </c>
      <c r="AI5" s="11">
        <v>0.6</v>
      </c>
      <c r="AJ5" s="11">
        <v>0.2</v>
      </c>
      <c r="AK5" s="11">
        <v>0.15</v>
      </c>
      <c r="AL5" s="5">
        <v>0.95</v>
      </c>
      <c r="AM5" s="12">
        <v>0.8</v>
      </c>
      <c r="AN5" s="13">
        <v>0.6</v>
      </c>
      <c r="AO5" s="31">
        <f t="shared" si="9"/>
        <v>2496.25</v>
      </c>
      <c r="AP5" s="35">
        <f t="shared" si="10"/>
        <v>2260</v>
      </c>
      <c r="AQ5" s="33">
        <f t="shared" si="11"/>
        <v>1945</v>
      </c>
      <c r="AR5" s="34">
        <v>10000.0</v>
      </c>
    </row>
    <row r="6">
      <c r="A6" s="15" t="s">
        <v>40</v>
      </c>
      <c r="B6" s="38">
        <f>B3+B4-B5</f>
        <v>350</v>
      </c>
      <c r="F6" s="3">
        <v>5.0</v>
      </c>
      <c r="G6" s="28"/>
      <c r="H6" s="17">
        <v>1200.0</v>
      </c>
      <c r="I6" s="18">
        <f t="shared" si="1"/>
        <v>200</v>
      </c>
      <c r="J6" s="19">
        <v>100.0</v>
      </c>
      <c r="K6" s="19">
        <v>100.0</v>
      </c>
      <c r="L6" s="20">
        <f t="shared" si="2"/>
        <v>1000</v>
      </c>
      <c r="M6" s="21">
        <f t="shared" si="3"/>
        <v>860</v>
      </c>
      <c r="N6" s="22">
        <v>500.0</v>
      </c>
      <c r="O6" s="22">
        <v>80.0</v>
      </c>
      <c r="P6" s="22">
        <v>110.0</v>
      </c>
      <c r="Q6" s="22">
        <v>40.0</v>
      </c>
      <c r="R6" s="22">
        <v>80.0</v>
      </c>
      <c r="S6" s="22">
        <v>20.0</v>
      </c>
      <c r="T6" s="22">
        <v>10.0</v>
      </c>
      <c r="U6" s="22">
        <v>20.0</v>
      </c>
      <c r="V6" s="21">
        <f t="shared" si="4"/>
        <v>90</v>
      </c>
      <c r="W6" s="22">
        <v>25.0</v>
      </c>
      <c r="X6" s="22">
        <v>15.0</v>
      </c>
      <c r="Y6" s="23">
        <v>50.0</v>
      </c>
      <c r="Z6" s="24">
        <f t="shared" si="5"/>
        <v>55</v>
      </c>
      <c r="AA6" s="22">
        <v>30.0</v>
      </c>
      <c r="AB6" s="22">
        <v>25.0</v>
      </c>
      <c r="AC6" s="25">
        <v>0.15</v>
      </c>
      <c r="AD6" s="26">
        <f t="shared" si="6"/>
        <v>400</v>
      </c>
      <c r="AE6" s="27"/>
      <c r="AF6" s="28"/>
      <c r="AG6" s="29">
        <f t="shared" si="7"/>
        <v>400</v>
      </c>
      <c r="AH6" s="30">
        <f t="shared" si="8"/>
        <v>0.95</v>
      </c>
      <c r="AI6" s="11">
        <v>0.6</v>
      </c>
      <c r="AJ6" s="11">
        <v>0.2</v>
      </c>
      <c r="AK6" s="11">
        <v>0.15</v>
      </c>
      <c r="AL6" s="5">
        <v>0.95</v>
      </c>
      <c r="AM6" s="12">
        <v>0.8</v>
      </c>
      <c r="AN6" s="13">
        <v>0.6</v>
      </c>
      <c r="AO6" s="31">
        <f t="shared" si="9"/>
        <v>2876.25</v>
      </c>
      <c r="AP6" s="35">
        <f t="shared" si="10"/>
        <v>2580</v>
      </c>
      <c r="AQ6" s="33">
        <f t="shared" si="11"/>
        <v>2185</v>
      </c>
      <c r="AR6" s="34">
        <v>10000.0</v>
      </c>
    </row>
    <row r="7">
      <c r="A7" s="14" t="s">
        <v>39</v>
      </c>
      <c r="B7" s="39">
        <v>10000.0</v>
      </c>
      <c r="F7" s="3">
        <v>6.0</v>
      </c>
      <c r="G7" s="28"/>
      <c r="H7" s="17">
        <v>1200.0</v>
      </c>
      <c r="I7" s="18">
        <f t="shared" si="1"/>
        <v>200</v>
      </c>
      <c r="J7" s="19">
        <v>100.0</v>
      </c>
      <c r="K7" s="19">
        <v>100.0</v>
      </c>
      <c r="L7" s="20">
        <f t="shared" si="2"/>
        <v>1000</v>
      </c>
      <c r="M7" s="21">
        <f t="shared" si="3"/>
        <v>860</v>
      </c>
      <c r="N7" s="22">
        <v>500.0</v>
      </c>
      <c r="O7" s="22">
        <v>80.0</v>
      </c>
      <c r="P7" s="22">
        <v>110.0</v>
      </c>
      <c r="Q7" s="22">
        <v>40.0</v>
      </c>
      <c r="R7" s="22">
        <v>80.0</v>
      </c>
      <c r="S7" s="22">
        <v>20.0</v>
      </c>
      <c r="T7" s="22">
        <v>10.0</v>
      </c>
      <c r="U7" s="22">
        <v>20.0</v>
      </c>
      <c r="V7" s="21">
        <f t="shared" si="4"/>
        <v>90</v>
      </c>
      <c r="W7" s="22">
        <v>25.0</v>
      </c>
      <c r="X7" s="22">
        <v>15.0</v>
      </c>
      <c r="Y7" s="23">
        <v>50.0</v>
      </c>
      <c r="Z7" s="24">
        <f t="shared" si="5"/>
        <v>55</v>
      </c>
      <c r="AA7" s="22">
        <v>30.0</v>
      </c>
      <c r="AB7" s="22">
        <v>25.0</v>
      </c>
      <c r="AC7" s="25">
        <v>0.15</v>
      </c>
      <c r="AD7" s="26">
        <f t="shared" si="6"/>
        <v>400</v>
      </c>
      <c r="AE7" s="27"/>
      <c r="AF7" s="28"/>
      <c r="AG7" s="29">
        <f t="shared" si="7"/>
        <v>400</v>
      </c>
      <c r="AH7" s="30">
        <f t="shared" si="8"/>
        <v>0.95</v>
      </c>
      <c r="AI7" s="11">
        <v>0.6</v>
      </c>
      <c r="AJ7" s="11">
        <v>0.2</v>
      </c>
      <c r="AK7" s="11">
        <v>0.15</v>
      </c>
      <c r="AL7" s="5">
        <v>0.95</v>
      </c>
      <c r="AM7" s="12">
        <v>0.8</v>
      </c>
      <c r="AN7" s="13">
        <v>0.6</v>
      </c>
      <c r="AO7" s="31">
        <f t="shared" si="9"/>
        <v>3256.25</v>
      </c>
      <c r="AP7" s="35">
        <f t="shared" si="10"/>
        <v>2900</v>
      </c>
      <c r="AQ7" s="33">
        <f t="shared" si="11"/>
        <v>2425</v>
      </c>
      <c r="AR7" s="34">
        <v>10000.0</v>
      </c>
    </row>
    <row r="8">
      <c r="A8" s="15" t="s">
        <v>41</v>
      </c>
      <c r="B8" s="3">
        <v>24.0</v>
      </c>
      <c r="F8" s="3">
        <v>7.0</v>
      </c>
      <c r="G8" s="28"/>
      <c r="H8" s="17">
        <v>1200.0</v>
      </c>
      <c r="I8" s="18">
        <f t="shared" si="1"/>
        <v>200</v>
      </c>
      <c r="J8" s="19">
        <v>100.0</v>
      </c>
      <c r="K8" s="19">
        <v>100.0</v>
      </c>
      <c r="L8" s="20">
        <f t="shared" si="2"/>
        <v>1000</v>
      </c>
      <c r="M8" s="21">
        <f t="shared" si="3"/>
        <v>860</v>
      </c>
      <c r="N8" s="22">
        <v>500.0</v>
      </c>
      <c r="O8" s="22">
        <v>80.0</v>
      </c>
      <c r="P8" s="22">
        <v>110.0</v>
      </c>
      <c r="Q8" s="22">
        <v>40.0</v>
      </c>
      <c r="R8" s="22">
        <v>80.0</v>
      </c>
      <c r="S8" s="22">
        <v>20.0</v>
      </c>
      <c r="T8" s="22">
        <v>10.0</v>
      </c>
      <c r="U8" s="22">
        <v>20.0</v>
      </c>
      <c r="V8" s="21">
        <f t="shared" si="4"/>
        <v>90</v>
      </c>
      <c r="W8" s="22">
        <v>25.0</v>
      </c>
      <c r="X8" s="22">
        <v>15.0</v>
      </c>
      <c r="Y8" s="23">
        <v>50.0</v>
      </c>
      <c r="Z8" s="24">
        <f t="shared" si="5"/>
        <v>55</v>
      </c>
      <c r="AA8" s="22">
        <v>30.0</v>
      </c>
      <c r="AB8" s="22">
        <v>25.0</v>
      </c>
      <c r="AC8" s="25">
        <v>0.15</v>
      </c>
      <c r="AD8" s="26">
        <f t="shared" si="6"/>
        <v>400</v>
      </c>
      <c r="AE8" s="27">
        <v>10.0</v>
      </c>
      <c r="AF8" s="28"/>
      <c r="AG8" s="29">
        <f t="shared" si="7"/>
        <v>390</v>
      </c>
      <c r="AH8" s="30">
        <f t="shared" si="8"/>
        <v>0.95</v>
      </c>
      <c r="AI8" s="11">
        <v>0.6</v>
      </c>
      <c r="AJ8" s="11">
        <v>0.2</v>
      </c>
      <c r="AK8" s="11">
        <v>0.15</v>
      </c>
      <c r="AL8" s="5">
        <v>0.95</v>
      </c>
      <c r="AM8" s="12">
        <v>0.8</v>
      </c>
      <c r="AN8" s="13">
        <v>0.6</v>
      </c>
      <c r="AO8" s="31">
        <f t="shared" si="9"/>
        <v>3626.75</v>
      </c>
      <c r="AP8" s="35">
        <f t="shared" si="10"/>
        <v>3212</v>
      </c>
      <c r="AQ8" s="33">
        <f t="shared" si="11"/>
        <v>2659</v>
      </c>
      <c r="AR8" s="34">
        <v>10000.0</v>
      </c>
    </row>
    <row r="9">
      <c r="A9" s="5" t="s">
        <v>42</v>
      </c>
      <c r="B9" s="25">
        <v>0.95</v>
      </c>
      <c r="F9" s="3">
        <v>8.0</v>
      </c>
      <c r="G9" s="28"/>
      <c r="H9" s="17">
        <v>1200.0</v>
      </c>
      <c r="I9" s="18">
        <f t="shared" si="1"/>
        <v>200</v>
      </c>
      <c r="J9" s="19">
        <v>100.0</v>
      </c>
      <c r="K9" s="19">
        <v>100.0</v>
      </c>
      <c r="L9" s="20">
        <f t="shared" si="2"/>
        <v>1000</v>
      </c>
      <c r="M9" s="21">
        <f t="shared" si="3"/>
        <v>860</v>
      </c>
      <c r="N9" s="22">
        <v>500.0</v>
      </c>
      <c r="O9" s="22">
        <v>80.0</v>
      </c>
      <c r="P9" s="22">
        <v>110.0</v>
      </c>
      <c r="Q9" s="22">
        <v>40.0</v>
      </c>
      <c r="R9" s="22">
        <v>80.0</v>
      </c>
      <c r="S9" s="22">
        <v>20.0</v>
      </c>
      <c r="T9" s="22">
        <v>10.0</v>
      </c>
      <c r="U9" s="22">
        <v>20.0</v>
      </c>
      <c r="V9" s="21">
        <f t="shared" si="4"/>
        <v>90</v>
      </c>
      <c r="W9" s="22">
        <v>25.0</v>
      </c>
      <c r="X9" s="22">
        <v>15.0</v>
      </c>
      <c r="Y9" s="23">
        <v>50.0</v>
      </c>
      <c r="Z9" s="24">
        <f t="shared" si="5"/>
        <v>55</v>
      </c>
      <c r="AA9" s="22">
        <v>30.0</v>
      </c>
      <c r="AB9" s="22">
        <v>25.0</v>
      </c>
      <c r="AC9" s="25">
        <v>0.15</v>
      </c>
      <c r="AD9" s="26">
        <f t="shared" si="6"/>
        <v>400</v>
      </c>
      <c r="AE9" s="27"/>
      <c r="AF9" s="37">
        <v>5.0</v>
      </c>
      <c r="AG9" s="29">
        <f t="shared" si="7"/>
        <v>395</v>
      </c>
      <c r="AH9" s="30">
        <f t="shared" si="8"/>
        <v>0.95</v>
      </c>
      <c r="AI9" s="11">
        <v>0.6</v>
      </c>
      <c r="AJ9" s="11">
        <v>0.2</v>
      </c>
      <c r="AK9" s="11">
        <v>0.15</v>
      </c>
      <c r="AL9" s="5">
        <v>0.95</v>
      </c>
      <c r="AM9" s="12">
        <v>0.8</v>
      </c>
      <c r="AN9" s="13">
        <v>0.6</v>
      </c>
      <c r="AO9" s="31">
        <f t="shared" si="9"/>
        <v>4002</v>
      </c>
      <c r="AP9" s="35">
        <f t="shared" si="10"/>
        <v>3528</v>
      </c>
      <c r="AQ9" s="33">
        <f t="shared" si="11"/>
        <v>2896</v>
      </c>
      <c r="AR9" s="34">
        <v>10000.0</v>
      </c>
    </row>
    <row r="10">
      <c r="A10" s="12" t="s">
        <v>34</v>
      </c>
      <c r="B10" s="25">
        <v>0.8</v>
      </c>
      <c r="F10" s="3">
        <v>9.0</v>
      </c>
      <c r="G10" s="28"/>
      <c r="H10" s="17">
        <v>1200.0</v>
      </c>
      <c r="I10" s="18">
        <f t="shared" si="1"/>
        <v>200</v>
      </c>
      <c r="J10" s="19">
        <v>100.0</v>
      </c>
      <c r="K10" s="19">
        <v>100.0</v>
      </c>
      <c r="L10" s="20">
        <f t="shared" si="2"/>
        <v>1000</v>
      </c>
      <c r="M10" s="21">
        <f t="shared" si="3"/>
        <v>860</v>
      </c>
      <c r="N10" s="22">
        <v>500.0</v>
      </c>
      <c r="O10" s="22">
        <v>80.0</v>
      </c>
      <c r="P10" s="22">
        <v>110.0</v>
      </c>
      <c r="Q10" s="22">
        <v>40.0</v>
      </c>
      <c r="R10" s="22">
        <v>80.0</v>
      </c>
      <c r="S10" s="22">
        <v>20.0</v>
      </c>
      <c r="T10" s="22">
        <v>10.0</v>
      </c>
      <c r="U10" s="22">
        <v>20.0</v>
      </c>
      <c r="V10" s="21">
        <f t="shared" si="4"/>
        <v>90</v>
      </c>
      <c r="W10" s="22">
        <v>25.0</v>
      </c>
      <c r="X10" s="22">
        <v>15.0</v>
      </c>
      <c r="Y10" s="23">
        <v>50.0</v>
      </c>
      <c r="Z10" s="24">
        <f t="shared" si="5"/>
        <v>55</v>
      </c>
      <c r="AA10" s="22">
        <v>30.0</v>
      </c>
      <c r="AB10" s="22">
        <v>25.0</v>
      </c>
      <c r="AC10" s="25">
        <v>0.15</v>
      </c>
      <c r="AD10" s="26">
        <f t="shared" si="6"/>
        <v>400</v>
      </c>
      <c r="AE10" s="27"/>
      <c r="AF10" s="28"/>
      <c r="AG10" s="29">
        <f t="shared" si="7"/>
        <v>400</v>
      </c>
      <c r="AH10" s="30">
        <f t="shared" si="8"/>
        <v>0.95</v>
      </c>
      <c r="AI10" s="11">
        <v>0.6</v>
      </c>
      <c r="AJ10" s="11">
        <v>0.2</v>
      </c>
      <c r="AK10" s="11">
        <v>0.15</v>
      </c>
      <c r="AL10" s="5">
        <v>0.95</v>
      </c>
      <c r="AM10" s="12">
        <v>0.8</v>
      </c>
      <c r="AN10" s="13">
        <v>0.6</v>
      </c>
      <c r="AO10" s="31">
        <f t="shared" si="9"/>
        <v>4382</v>
      </c>
      <c r="AP10" s="35">
        <f t="shared" si="10"/>
        <v>3848</v>
      </c>
      <c r="AQ10" s="33">
        <f t="shared" si="11"/>
        <v>3136</v>
      </c>
      <c r="AR10" s="34">
        <v>10000.0</v>
      </c>
    </row>
    <row r="11">
      <c r="A11" s="13" t="s">
        <v>35</v>
      </c>
      <c r="B11" s="25">
        <v>0.6</v>
      </c>
      <c r="F11" s="3">
        <v>10.0</v>
      </c>
      <c r="G11" s="28"/>
      <c r="H11" s="17">
        <v>1200.0</v>
      </c>
      <c r="I11" s="18">
        <f t="shared" si="1"/>
        <v>200</v>
      </c>
      <c r="J11" s="19">
        <v>100.0</v>
      </c>
      <c r="K11" s="19">
        <v>100.0</v>
      </c>
      <c r="L11" s="20">
        <f t="shared" si="2"/>
        <v>1000</v>
      </c>
      <c r="M11" s="21">
        <f t="shared" si="3"/>
        <v>860</v>
      </c>
      <c r="N11" s="22">
        <v>500.0</v>
      </c>
      <c r="O11" s="22">
        <v>80.0</v>
      </c>
      <c r="P11" s="22">
        <v>110.0</v>
      </c>
      <c r="Q11" s="22">
        <v>40.0</v>
      </c>
      <c r="R11" s="22">
        <v>80.0</v>
      </c>
      <c r="S11" s="22">
        <v>20.0</v>
      </c>
      <c r="T11" s="22">
        <v>10.0</v>
      </c>
      <c r="U11" s="22">
        <v>20.0</v>
      </c>
      <c r="V11" s="21">
        <f t="shared" si="4"/>
        <v>90</v>
      </c>
      <c r="W11" s="22">
        <v>25.0</v>
      </c>
      <c r="X11" s="22">
        <v>15.0</v>
      </c>
      <c r="Y11" s="23">
        <v>50.0</v>
      </c>
      <c r="Z11" s="24">
        <f t="shared" si="5"/>
        <v>55</v>
      </c>
      <c r="AA11" s="22">
        <v>30.0</v>
      </c>
      <c r="AB11" s="22">
        <v>25.0</v>
      </c>
      <c r="AC11" s="25">
        <v>0.15</v>
      </c>
      <c r="AD11" s="26">
        <f t="shared" si="6"/>
        <v>400</v>
      </c>
      <c r="AE11" s="27">
        <v>10.0</v>
      </c>
      <c r="AF11" s="28"/>
      <c r="AG11" s="29">
        <f t="shared" si="7"/>
        <v>390</v>
      </c>
      <c r="AH11" s="30">
        <f t="shared" si="8"/>
        <v>0.95</v>
      </c>
      <c r="AI11" s="11">
        <v>0.6</v>
      </c>
      <c r="AJ11" s="11">
        <v>0.2</v>
      </c>
      <c r="AK11" s="11">
        <v>0.15</v>
      </c>
      <c r="AL11" s="5">
        <v>0.95</v>
      </c>
      <c r="AM11" s="12">
        <v>0.8</v>
      </c>
      <c r="AN11" s="13">
        <v>0.6</v>
      </c>
      <c r="AO11" s="31">
        <f t="shared" si="9"/>
        <v>4752.5</v>
      </c>
      <c r="AP11" s="35">
        <f t="shared" si="10"/>
        <v>4160</v>
      </c>
      <c r="AQ11" s="33">
        <f t="shared" si="11"/>
        <v>3370</v>
      </c>
      <c r="AR11" s="34">
        <v>10000.0</v>
      </c>
    </row>
    <row r="12">
      <c r="F12" s="3">
        <v>11.0</v>
      </c>
      <c r="G12" s="28"/>
      <c r="H12" s="17">
        <v>1200.0</v>
      </c>
      <c r="I12" s="18">
        <f t="shared" si="1"/>
        <v>200</v>
      </c>
      <c r="J12" s="19">
        <v>100.0</v>
      </c>
      <c r="K12" s="19">
        <v>100.0</v>
      </c>
      <c r="L12" s="20">
        <f t="shared" si="2"/>
        <v>1000</v>
      </c>
      <c r="M12" s="21">
        <f t="shared" si="3"/>
        <v>860</v>
      </c>
      <c r="N12" s="22">
        <v>500.0</v>
      </c>
      <c r="O12" s="22">
        <v>80.0</v>
      </c>
      <c r="P12" s="22">
        <v>110.0</v>
      </c>
      <c r="Q12" s="22">
        <v>40.0</v>
      </c>
      <c r="R12" s="22">
        <v>80.0</v>
      </c>
      <c r="S12" s="22">
        <v>20.0</v>
      </c>
      <c r="T12" s="22">
        <v>10.0</v>
      </c>
      <c r="U12" s="22">
        <v>20.0</v>
      </c>
      <c r="V12" s="21">
        <f t="shared" si="4"/>
        <v>90</v>
      </c>
      <c r="W12" s="22">
        <v>25.0</v>
      </c>
      <c r="X12" s="22">
        <v>15.0</v>
      </c>
      <c r="Y12" s="23">
        <v>50.0</v>
      </c>
      <c r="Z12" s="24">
        <f t="shared" si="5"/>
        <v>55</v>
      </c>
      <c r="AA12" s="22">
        <v>30.0</v>
      </c>
      <c r="AB12" s="22">
        <v>25.0</v>
      </c>
      <c r="AC12" s="25">
        <v>0.15</v>
      </c>
      <c r="AD12" s="26">
        <f t="shared" si="6"/>
        <v>400</v>
      </c>
      <c r="AE12" s="27"/>
      <c r="AF12" s="28"/>
      <c r="AG12" s="29">
        <f t="shared" si="7"/>
        <v>400</v>
      </c>
      <c r="AH12" s="30">
        <f t="shared" si="8"/>
        <v>0.95</v>
      </c>
      <c r="AI12" s="11">
        <v>0.6</v>
      </c>
      <c r="AJ12" s="11">
        <v>0.2</v>
      </c>
      <c r="AK12" s="11">
        <v>0.15</v>
      </c>
      <c r="AL12" s="5">
        <v>0.95</v>
      </c>
      <c r="AM12" s="12">
        <v>0.8</v>
      </c>
      <c r="AN12" s="13">
        <v>0.6</v>
      </c>
      <c r="AO12" s="31">
        <f t="shared" si="9"/>
        <v>5132.5</v>
      </c>
      <c r="AP12" s="35">
        <f t="shared" si="10"/>
        <v>4480</v>
      </c>
      <c r="AQ12" s="33">
        <f t="shared" si="11"/>
        <v>3610</v>
      </c>
      <c r="AR12" s="34">
        <v>10000.0</v>
      </c>
    </row>
    <row r="13">
      <c r="B13" s="40" t="s">
        <v>43</v>
      </c>
      <c r="F13" s="3">
        <v>12.0</v>
      </c>
      <c r="G13" s="28"/>
      <c r="H13" s="17">
        <v>1200.0</v>
      </c>
      <c r="I13" s="18">
        <f t="shared" si="1"/>
        <v>200</v>
      </c>
      <c r="J13" s="19">
        <v>100.0</v>
      </c>
      <c r="K13" s="19">
        <v>100.0</v>
      </c>
      <c r="L13" s="20">
        <f t="shared" si="2"/>
        <v>1000</v>
      </c>
      <c r="M13" s="21">
        <f t="shared" si="3"/>
        <v>860</v>
      </c>
      <c r="N13" s="22">
        <v>500.0</v>
      </c>
      <c r="O13" s="22">
        <v>80.0</v>
      </c>
      <c r="P13" s="22">
        <v>110.0</v>
      </c>
      <c r="Q13" s="22">
        <v>40.0</v>
      </c>
      <c r="R13" s="22">
        <v>80.0</v>
      </c>
      <c r="S13" s="22">
        <v>20.0</v>
      </c>
      <c r="T13" s="22">
        <v>10.0</v>
      </c>
      <c r="U13" s="22">
        <v>20.0</v>
      </c>
      <c r="V13" s="21">
        <f t="shared" si="4"/>
        <v>90</v>
      </c>
      <c r="W13" s="22">
        <v>25.0</v>
      </c>
      <c r="X13" s="22">
        <v>15.0</v>
      </c>
      <c r="Y13" s="23">
        <v>50.0</v>
      </c>
      <c r="Z13" s="24">
        <f t="shared" si="5"/>
        <v>55</v>
      </c>
      <c r="AA13" s="22">
        <v>30.0</v>
      </c>
      <c r="AB13" s="22">
        <v>25.0</v>
      </c>
      <c r="AC13" s="25">
        <v>0.15</v>
      </c>
      <c r="AD13" s="26">
        <f t="shared" si="6"/>
        <v>400</v>
      </c>
      <c r="AE13" s="27"/>
      <c r="AF13" s="37">
        <v>5.0</v>
      </c>
      <c r="AG13" s="29">
        <f t="shared" si="7"/>
        <v>395</v>
      </c>
      <c r="AH13" s="30">
        <f t="shared" si="8"/>
        <v>0.95</v>
      </c>
      <c r="AI13" s="11">
        <v>0.6</v>
      </c>
      <c r="AJ13" s="11">
        <v>0.2</v>
      </c>
      <c r="AK13" s="11">
        <v>0.15</v>
      </c>
      <c r="AL13" s="5">
        <v>0.95</v>
      </c>
      <c r="AM13" s="12">
        <v>0.8</v>
      </c>
      <c r="AN13" s="13">
        <v>0.6</v>
      </c>
      <c r="AO13" s="31">
        <f t="shared" si="9"/>
        <v>5507.75</v>
      </c>
      <c r="AP13" s="35">
        <f t="shared" si="10"/>
        <v>4796</v>
      </c>
      <c r="AQ13" s="33">
        <f t="shared" si="11"/>
        <v>3847</v>
      </c>
      <c r="AR13" s="34">
        <v>10000.0</v>
      </c>
    </row>
    <row r="14">
      <c r="F14" s="3">
        <v>13.0</v>
      </c>
      <c r="G14" s="28"/>
      <c r="H14" s="17">
        <v>1200.0</v>
      </c>
      <c r="I14" s="18">
        <f t="shared" si="1"/>
        <v>200</v>
      </c>
      <c r="J14" s="19">
        <v>100.0</v>
      </c>
      <c r="K14" s="19">
        <v>100.0</v>
      </c>
      <c r="L14" s="20">
        <f t="shared" si="2"/>
        <v>1000</v>
      </c>
      <c r="M14" s="21">
        <f t="shared" si="3"/>
        <v>860</v>
      </c>
      <c r="N14" s="22">
        <v>500.0</v>
      </c>
      <c r="O14" s="22">
        <v>80.0</v>
      </c>
      <c r="P14" s="22">
        <v>110.0</v>
      </c>
      <c r="Q14" s="22">
        <v>40.0</v>
      </c>
      <c r="R14" s="22">
        <v>80.0</v>
      </c>
      <c r="S14" s="22">
        <v>20.0</v>
      </c>
      <c r="T14" s="22">
        <v>10.0</v>
      </c>
      <c r="U14" s="22">
        <v>20.0</v>
      </c>
      <c r="V14" s="21">
        <f t="shared" si="4"/>
        <v>90</v>
      </c>
      <c r="W14" s="22">
        <v>25.0</v>
      </c>
      <c r="X14" s="22">
        <v>15.0</v>
      </c>
      <c r="Y14" s="23">
        <v>50.0</v>
      </c>
      <c r="Z14" s="24">
        <f t="shared" si="5"/>
        <v>55</v>
      </c>
      <c r="AA14" s="22">
        <v>30.0</v>
      </c>
      <c r="AB14" s="22">
        <v>25.0</v>
      </c>
      <c r="AC14" s="25">
        <v>0.15</v>
      </c>
      <c r="AD14" s="26">
        <f t="shared" si="6"/>
        <v>400</v>
      </c>
      <c r="AE14" s="27">
        <v>10.0</v>
      </c>
      <c r="AF14" s="28"/>
      <c r="AG14" s="29">
        <f t="shared" si="7"/>
        <v>390</v>
      </c>
      <c r="AH14" s="30">
        <f t="shared" si="8"/>
        <v>0.95</v>
      </c>
      <c r="AI14" s="11">
        <v>0.6</v>
      </c>
      <c r="AJ14" s="11">
        <v>0.2</v>
      </c>
      <c r="AK14" s="11">
        <v>0.15</v>
      </c>
      <c r="AL14" s="5">
        <v>0.95</v>
      </c>
      <c r="AM14" s="12">
        <v>0.8</v>
      </c>
      <c r="AN14" s="13">
        <v>0.6</v>
      </c>
      <c r="AO14" s="31">
        <f t="shared" si="9"/>
        <v>5878.25</v>
      </c>
      <c r="AP14" s="35">
        <f t="shared" si="10"/>
        <v>5108</v>
      </c>
      <c r="AQ14" s="33">
        <f t="shared" si="11"/>
        <v>4081</v>
      </c>
      <c r="AR14" s="34">
        <v>10000.0</v>
      </c>
    </row>
    <row r="15">
      <c r="F15" s="3">
        <v>14.0</v>
      </c>
      <c r="G15" s="28"/>
      <c r="H15" s="17">
        <v>1200.0</v>
      </c>
      <c r="I15" s="18">
        <f t="shared" si="1"/>
        <v>200</v>
      </c>
      <c r="J15" s="19">
        <v>100.0</v>
      </c>
      <c r="K15" s="19">
        <v>100.0</v>
      </c>
      <c r="L15" s="20">
        <f t="shared" si="2"/>
        <v>1000</v>
      </c>
      <c r="M15" s="21">
        <f t="shared" si="3"/>
        <v>860</v>
      </c>
      <c r="N15" s="22">
        <v>500.0</v>
      </c>
      <c r="O15" s="22">
        <v>80.0</v>
      </c>
      <c r="P15" s="22">
        <v>110.0</v>
      </c>
      <c r="Q15" s="22">
        <v>40.0</v>
      </c>
      <c r="R15" s="22">
        <v>80.0</v>
      </c>
      <c r="S15" s="22">
        <v>20.0</v>
      </c>
      <c r="T15" s="22">
        <v>10.0</v>
      </c>
      <c r="U15" s="22">
        <v>20.0</v>
      </c>
      <c r="V15" s="21">
        <f t="shared" si="4"/>
        <v>90</v>
      </c>
      <c r="W15" s="22">
        <v>25.0</v>
      </c>
      <c r="X15" s="22">
        <v>15.0</v>
      </c>
      <c r="Y15" s="23">
        <v>50.0</v>
      </c>
      <c r="Z15" s="24">
        <f t="shared" si="5"/>
        <v>55</v>
      </c>
      <c r="AA15" s="22">
        <v>30.0</v>
      </c>
      <c r="AB15" s="22">
        <v>25.0</v>
      </c>
      <c r="AC15" s="25">
        <v>0.15</v>
      </c>
      <c r="AD15" s="26">
        <f t="shared" si="6"/>
        <v>400</v>
      </c>
      <c r="AE15" s="27"/>
      <c r="AF15" s="28"/>
      <c r="AG15" s="29">
        <f t="shared" si="7"/>
        <v>400</v>
      </c>
      <c r="AH15" s="30">
        <f t="shared" si="8"/>
        <v>0.95</v>
      </c>
      <c r="AI15" s="11">
        <v>0.6</v>
      </c>
      <c r="AJ15" s="11">
        <v>0.2</v>
      </c>
      <c r="AK15" s="11">
        <v>0.15</v>
      </c>
      <c r="AL15" s="5">
        <v>0.95</v>
      </c>
      <c r="AM15" s="12">
        <v>0.8</v>
      </c>
      <c r="AN15" s="13">
        <v>0.6</v>
      </c>
      <c r="AO15" s="31">
        <f t="shared" si="9"/>
        <v>6258.25</v>
      </c>
      <c r="AP15" s="35">
        <f t="shared" si="10"/>
        <v>5428</v>
      </c>
      <c r="AQ15" s="33">
        <f t="shared" si="11"/>
        <v>4321</v>
      </c>
      <c r="AR15" s="34">
        <v>10000.0</v>
      </c>
    </row>
    <row r="16">
      <c r="F16" s="3">
        <v>15.0</v>
      </c>
      <c r="G16" s="28"/>
      <c r="H16" s="17">
        <v>1200.0</v>
      </c>
      <c r="I16" s="18">
        <f t="shared" si="1"/>
        <v>200</v>
      </c>
      <c r="J16" s="19">
        <v>100.0</v>
      </c>
      <c r="K16" s="19">
        <v>100.0</v>
      </c>
      <c r="L16" s="20">
        <f t="shared" si="2"/>
        <v>1000</v>
      </c>
      <c r="M16" s="21">
        <f t="shared" si="3"/>
        <v>860</v>
      </c>
      <c r="N16" s="22">
        <v>500.0</v>
      </c>
      <c r="O16" s="22">
        <v>80.0</v>
      </c>
      <c r="P16" s="22">
        <v>110.0</v>
      </c>
      <c r="Q16" s="22">
        <v>40.0</v>
      </c>
      <c r="R16" s="22">
        <v>80.0</v>
      </c>
      <c r="S16" s="22">
        <v>20.0</v>
      </c>
      <c r="T16" s="22">
        <v>10.0</v>
      </c>
      <c r="U16" s="22">
        <v>20.0</v>
      </c>
      <c r="V16" s="21">
        <f t="shared" si="4"/>
        <v>90</v>
      </c>
      <c r="W16" s="22">
        <v>25.0</v>
      </c>
      <c r="X16" s="22">
        <v>15.0</v>
      </c>
      <c r="Y16" s="23">
        <v>50.0</v>
      </c>
      <c r="Z16" s="24">
        <f t="shared" si="5"/>
        <v>55</v>
      </c>
      <c r="AA16" s="22">
        <v>30.0</v>
      </c>
      <c r="AB16" s="22">
        <v>25.0</v>
      </c>
      <c r="AC16" s="25">
        <v>0.15</v>
      </c>
      <c r="AD16" s="26">
        <f t="shared" si="6"/>
        <v>400</v>
      </c>
      <c r="AE16" s="27"/>
      <c r="AF16" s="28"/>
      <c r="AG16" s="29">
        <f t="shared" si="7"/>
        <v>400</v>
      </c>
      <c r="AH16" s="30">
        <f t="shared" si="8"/>
        <v>0.95</v>
      </c>
      <c r="AI16" s="11">
        <v>0.6</v>
      </c>
      <c r="AJ16" s="11">
        <v>0.2</v>
      </c>
      <c r="AK16" s="11">
        <v>0.15</v>
      </c>
      <c r="AL16" s="5">
        <v>0.95</v>
      </c>
      <c r="AM16" s="12">
        <v>0.8</v>
      </c>
      <c r="AN16" s="13">
        <v>0.6</v>
      </c>
      <c r="AO16" s="31">
        <f t="shared" si="9"/>
        <v>6638.25</v>
      </c>
      <c r="AP16" s="35">
        <f t="shared" si="10"/>
        <v>5748</v>
      </c>
      <c r="AQ16" s="33">
        <f t="shared" si="11"/>
        <v>4561</v>
      </c>
      <c r="AR16" s="34">
        <v>10000.0</v>
      </c>
    </row>
    <row r="17">
      <c r="F17" s="3">
        <v>16.0</v>
      </c>
      <c r="G17" s="28"/>
      <c r="H17" s="17">
        <v>1200.0</v>
      </c>
      <c r="I17" s="18">
        <f t="shared" si="1"/>
        <v>200</v>
      </c>
      <c r="J17" s="19">
        <v>100.0</v>
      </c>
      <c r="K17" s="19">
        <v>100.0</v>
      </c>
      <c r="L17" s="20">
        <f t="shared" si="2"/>
        <v>1000</v>
      </c>
      <c r="M17" s="21">
        <f t="shared" si="3"/>
        <v>860</v>
      </c>
      <c r="N17" s="22">
        <v>500.0</v>
      </c>
      <c r="O17" s="22">
        <v>80.0</v>
      </c>
      <c r="P17" s="22">
        <v>110.0</v>
      </c>
      <c r="Q17" s="22">
        <v>40.0</v>
      </c>
      <c r="R17" s="22">
        <v>80.0</v>
      </c>
      <c r="S17" s="22">
        <v>20.0</v>
      </c>
      <c r="T17" s="22">
        <v>10.0</v>
      </c>
      <c r="U17" s="22">
        <v>20.0</v>
      </c>
      <c r="V17" s="21">
        <f t="shared" si="4"/>
        <v>90</v>
      </c>
      <c r="W17" s="22">
        <v>25.0</v>
      </c>
      <c r="X17" s="22">
        <v>15.0</v>
      </c>
      <c r="Y17" s="23">
        <v>50.0</v>
      </c>
      <c r="Z17" s="24">
        <f t="shared" si="5"/>
        <v>55</v>
      </c>
      <c r="AA17" s="22">
        <v>30.0</v>
      </c>
      <c r="AB17" s="22">
        <v>25.0</v>
      </c>
      <c r="AC17" s="25">
        <v>0.15</v>
      </c>
      <c r="AD17" s="26">
        <f t="shared" si="6"/>
        <v>400</v>
      </c>
      <c r="AE17" s="27">
        <v>10.0</v>
      </c>
      <c r="AF17" s="37">
        <v>5.0</v>
      </c>
      <c r="AG17" s="29">
        <f t="shared" si="7"/>
        <v>385</v>
      </c>
      <c r="AH17" s="30">
        <f t="shared" si="8"/>
        <v>0.95</v>
      </c>
      <c r="AI17" s="11">
        <v>0.6</v>
      </c>
      <c r="AJ17" s="11">
        <v>0.2</v>
      </c>
      <c r="AK17" s="11">
        <v>0.15</v>
      </c>
      <c r="AL17" s="5">
        <v>0.95</v>
      </c>
      <c r="AM17" s="12">
        <v>0.8</v>
      </c>
      <c r="AN17" s="13">
        <v>0.6</v>
      </c>
      <c r="AO17" s="31">
        <f t="shared" si="9"/>
        <v>7004</v>
      </c>
      <c r="AP17" s="35">
        <f t="shared" si="10"/>
        <v>6056</v>
      </c>
      <c r="AQ17" s="33">
        <f t="shared" si="11"/>
        <v>4792</v>
      </c>
      <c r="AR17" s="34">
        <v>10000.0</v>
      </c>
    </row>
    <row r="18">
      <c r="F18" s="3">
        <v>17.0</v>
      </c>
      <c r="G18" s="28"/>
      <c r="H18" s="17">
        <v>1200.0</v>
      </c>
      <c r="I18" s="18">
        <f t="shared" si="1"/>
        <v>200</v>
      </c>
      <c r="J18" s="19">
        <v>100.0</v>
      </c>
      <c r="K18" s="19">
        <v>100.0</v>
      </c>
      <c r="L18" s="20">
        <f t="shared" si="2"/>
        <v>1000</v>
      </c>
      <c r="M18" s="21">
        <f t="shared" si="3"/>
        <v>860</v>
      </c>
      <c r="N18" s="22">
        <v>500.0</v>
      </c>
      <c r="O18" s="22">
        <v>80.0</v>
      </c>
      <c r="P18" s="22">
        <v>110.0</v>
      </c>
      <c r="Q18" s="22">
        <v>40.0</v>
      </c>
      <c r="R18" s="22">
        <v>80.0</v>
      </c>
      <c r="S18" s="22">
        <v>20.0</v>
      </c>
      <c r="T18" s="22">
        <v>10.0</v>
      </c>
      <c r="U18" s="22">
        <v>20.0</v>
      </c>
      <c r="V18" s="21">
        <f t="shared" si="4"/>
        <v>90</v>
      </c>
      <c r="W18" s="22">
        <v>25.0</v>
      </c>
      <c r="X18" s="22">
        <v>15.0</v>
      </c>
      <c r="Y18" s="23">
        <v>50.0</v>
      </c>
      <c r="Z18" s="24">
        <f t="shared" si="5"/>
        <v>55</v>
      </c>
      <c r="AA18" s="22">
        <v>30.0</v>
      </c>
      <c r="AB18" s="22">
        <v>25.0</v>
      </c>
      <c r="AC18" s="25">
        <v>0.15</v>
      </c>
      <c r="AD18" s="26">
        <f t="shared" si="6"/>
        <v>400</v>
      </c>
      <c r="AE18" s="27"/>
      <c r="AF18" s="28"/>
      <c r="AG18" s="29">
        <f t="shared" si="7"/>
        <v>400</v>
      </c>
      <c r="AH18" s="30">
        <f t="shared" si="8"/>
        <v>0.95</v>
      </c>
      <c r="AI18" s="11">
        <v>0.6</v>
      </c>
      <c r="AJ18" s="11">
        <v>0.2</v>
      </c>
      <c r="AK18" s="11">
        <v>0.15</v>
      </c>
      <c r="AL18" s="5">
        <v>0.95</v>
      </c>
      <c r="AM18" s="12">
        <v>0.8</v>
      </c>
      <c r="AN18" s="13">
        <v>0.6</v>
      </c>
      <c r="AO18" s="31">
        <f t="shared" si="9"/>
        <v>7384</v>
      </c>
      <c r="AP18" s="35">
        <f t="shared" si="10"/>
        <v>6376</v>
      </c>
      <c r="AQ18" s="33">
        <f t="shared" si="11"/>
        <v>5032</v>
      </c>
      <c r="AR18" s="34">
        <v>10000.0</v>
      </c>
    </row>
    <row r="19">
      <c r="F19" s="3">
        <v>18.0</v>
      </c>
      <c r="G19" s="28"/>
      <c r="H19" s="17">
        <v>1200.0</v>
      </c>
      <c r="I19" s="18">
        <f t="shared" si="1"/>
        <v>200</v>
      </c>
      <c r="J19" s="19">
        <v>100.0</v>
      </c>
      <c r="K19" s="19">
        <v>100.0</v>
      </c>
      <c r="L19" s="20">
        <f t="shared" si="2"/>
        <v>1000</v>
      </c>
      <c r="M19" s="21">
        <f t="shared" si="3"/>
        <v>860</v>
      </c>
      <c r="N19" s="22">
        <v>500.0</v>
      </c>
      <c r="O19" s="22">
        <v>80.0</v>
      </c>
      <c r="P19" s="22">
        <v>110.0</v>
      </c>
      <c r="Q19" s="22">
        <v>40.0</v>
      </c>
      <c r="R19" s="22">
        <v>80.0</v>
      </c>
      <c r="S19" s="22">
        <v>20.0</v>
      </c>
      <c r="T19" s="22">
        <v>10.0</v>
      </c>
      <c r="U19" s="22">
        <v>20.0</v>
      </c>
      <c r="V19" s="21">
        <f t="shared" si="4"/>
        <v>90</v>
      </c>
      <c r="W19" s="22">
        <v>25.0</v>
      </c>
      <c r="X19" s="22">
        <v>15.0</v>
      </c>
      <c r="Y19" s="23">
        <v>50.0</v>
      </c>
      <c r="Z19" s="24">
        <f t="shared" si="5"/>
        <v>55</v>
      </c>
      <c r="AA19" s="22">
        <v>30.0</v>
      </c>
      <c r="AB19" s="22">
        <v>25.0</v>
      </c>
      <c r="AC19" s="25">
        <v>0.15</v>
      </c>
      <c r="AD19" s="26">
        <f t="shared" si="6"/>
        <v>400</v>
      </c>
      <c r="AE19" s="27"/>
      <c r="AF19" s="28"/>
      <c r="AG19" s="29">
        <f t="shared" si="7"/>
        <v>400</v>
      </c>
      <c r="AH19" s="30">
        <f t="shared" si="8"/>
        <v>0.95</v>
      </c>
      <c r="AI19" s="11">
        <v>0.6</v>
      </c>
      <c r="AJ19" s="11">
        <v>0.2</v>
      </c>
      <c r="AK19" s="11">
        <v>0.15</v>
      </c>
      <c r="AL19" s="5">
        <v>0.95</v>
      </c>
      <c r="AM19" s="12">
        <v>0.8</v>
      </c>
      <c r="AN19" s="13">
        <v>0.6</v>
      </c>
      <c r="AO19" s="31">
        <f t="shared" si="9"/>
        <v>7764</v>
      </c>
      <c r="AP19" s="35">
        <f t="shared" si="10"/>
        <v>6696</v>
      </c>
      <c r="AQ19" s="33">
        <f t="shared" si="11"/>
        <v>5272</v>
      </c>
      <c r="AR19" s="34">
        <v>10000.0</v>
      </c>
    </row>
    <row r="20">
      <c r="F20" s="3">
        <v>19.0</v>
      </c>
      <c r="G20" s="28"/>
      <c r="H20" s="17">
        <v>1200.0</v>
      </c>
      <c r="I20" s="18">
        <f t="shared" si="1"/>
        <v>200</v>
      </c>
      <c r="J20" s="19">
        <v>100.0</v>
      </c>
      <c r="K20" s="19">
        <v>100.0</v>
      </c>
      <c r="L20" s="20">
        <f t="shared" si="2"/>
        <v>1000</v>
      </c>
      <c r="M20" s="21">
        <f t="shared" si="3"/>
        <v>860</v>
      </c>
      <c r="N20" s="22">
        <v>500.0</v>
      </c>
      <c r="O20" s="22">
        <v>80.0</v>
      </c>
      <c r="P20" s="22">
        <v>110.0</v>
      </c>
      <c r="Q20" s="22">
        <v>40.0</v>
      </c>
      <c r="R20" s="22">
        <v>80.0</v>
      </c>
      <c r="S20" s="22">
        <v>20.0</v>
      </c>
      <c r="T20" s="22">
        <v>10.0</v>
      </c>
      <c r="U20" s="22">
        <v>20.0</v>
      </c>
      <c r="V20" s="21">
        <f t="shared" si="4"/>
        <v>90</v>
      </c>
      <c r="W20" s="22">
        <v>25.0</v>
      </c>
      <c r="X20" s="22">
        <v>15.0</v>
      </c>
      <c r="Y20" s="23">
        <v>50.0</v>
      </c>
      <c r="Z20" s="24">
        <f t="shared" si="5"/>
        <v>55</v>
      </c>
      <c r="AA20" s="22">
        <v>30.0</v>
      </c>
      <c r="AB20" s="22">
        <v>25.0</v>
      </c>
      <c r="AC20" s="25">
        <v>0.15</v>
      </c>
      <c r="AD20" s="26">
        <f t="shared" si="6"/>
        <v>400</v>
      </c>
      <c r="AE20" s="27">
        <v>10.0</v>
      </c>
      <c r="AF20" s="28"/>
      <c r="AG20" s="29">
        <f t="shared" si="7"/>
        <v>390</v>
      </c>
      <c r="AH20" s="30">
        <f t="shared" si="8"/>
        <v>0.95</v>
      </c>
      <c r="AI20" s="11">
        <v>0.6</v>
      </c>
      <c r="AJ20" s="11">
        <v>0.2</v>
      </c>
      <c r="AK20" s="11">
        <v>0.15</v>
      </c>
      <c r="AL20" s="5">
        <v>0.95</v>
      </c>
      <c r="AM20" s="12">
        <v>0.8</v>
      </c>
      <c r="AN20" s="13">
        <v>0.6</v>
      </c>
      <c r="AO20" s="31">
        <f t="shared" si="9"/>
        <v>8134.5</v>
      </c>
      <c r="AP20" s="35">
        <f t="shared" si="10"/>
        <v>7008</v>
      </c>
      <c r="AQ20" s="33">
        <f t="shared" si="11"/>
        <v>5506</v>
      </c>
      <c r="AR20" s="34">
        <v>10000.0</v>
      </c>
    </row>
    <row r="21">
      <c r="F21" s="3">
        <v>20.0</v>
      </c>
      <c r="G21" s="28"/>
      <c r="H21" s="17">
        <v>1200.0</v>
      </c>
      <c r="I21" s="18">
        <f t="shared" si="1"/>
        <v>200</v>
      </c>
      <c r="J21" s="19">
        <v>100.0</v>
      </c>
      <c r="K21" s="19">
        <v>100.0</v>
      </c>
      <c r="L21" s="20">
        <f t="shared" si="2"/>
        <v>1000</v>
      </c>
      <c r="M21" s="21">
        <f t="shared" si="3"/>
        <v>860</v>
      </c>
      <c r="N21" s="22">
        <v>500.0</v>
      </c>
      <c r="O21" s="22">
        <v>80.0</v>
      </c>
      <c r="P21" s="22">
        <v>110.0</v>
      </c>
      <c r="Q21" s="22">
        <v>40.0</v>
      </c>
      <c r="R21" s="22">
        <v>80.0</v>
      </c>
      <c r="S21" s="22">
        <v>20.0</v>
      </c>
      <c r="T21" s="22">
        <v>10.0</v>
      </c>
      <c r="U21" s="22">
        <v>20.0</v>
      </c>
      <c r="V21" s="21">
        <f t="shared" si="4"/>
        <v>90</v>
      </c>
      <c r="W21" s="22">
        <v>25.0</v>
      </c>
      <c r="X21" s="22">
        <v>15.0</v>
      </c>
      <c r="Y21" s="23">
        <v>50.0</v>
      </c>
      <c r="Z21" s="24">
        <f t="shared" si="5"/>
        <v>55</v>
      </c>
      <c r="AA21" s="22">
        <v>30.0</v>
      </c>
      <c r="AB21" s="22">
        <v>25.0</v>
      </c>
      <c r="AC21" s="25">
        <v>0.15</v>
      </c>
      <c r="AD21" s="26">
        <f t="shared" si="6"/>
        <v>400</v>
      </c>
      <c r="AE21" s="27"/>
      <c r="AF21" s="37">
        <v>5.0</v>
      </c>
      <c r="AG21" s="29">
        <f t="shared" si="7"/>
        <v>395</v>
      </c>
      <c r="AH21" s="30">
        <f t="shared" si="8"/>
        <v>0.95</v>
      </c>
      <c r="AI21" s="11">
        <v>0.6</v>
      </c>
      <c r="AJ21" s="11">
        <v>0.2</v>
      </c>
      <c r="AK21" s="11">
        <v>0.15</v>
      </c>
      <c r="AL21" s="5">
        <v>0.95</v>
      </c>
      <c r="AM21" s="12">
        <v>0.8</v>
      </c>
      <c r="AN21" s="13">
        <v>0.6</v>
      </c>
      <c r="AO21" s="31">
        <f t="shared" si="9"/>
        <v>8509.75</v>
      </c>
      <c r="AP21" s="35">
        <f t="shared" si="10"/>
        <v>7324</v>
      </c>
      <c r="AQ21" s="33">
        <f t="shared" si="11"/>
        <v>5743</v>
      </c>
      <c r="AR21" s="34">
        <v>10000.0</v>
      </c>
    </row>
    <row r="22">
      <c r="F22" s="3">
        <v>21.0</v>
      </c>
      <c r="G22" s="28"/>
      <c r="H22" s="17">
        <v>1200.0</v>
      </c>
      <c r="I22" s="18">
        <f t="shared" si="1"/>
        <v>200</v>
      </c>
      <c r="J22" s="19">
        <v>100.0</v>
      </c>
      <c r="K22" s="19">
        <v>100.0</v>
      </c>
      <c r="L22" s="20">
        <f t="shared" si="2"/>
        <v>1000</v>
      </c>
      <c r="M22" s="21">
        <f t="shared" si="3"/>
        <v>860</v>
      </c>
      <c r="N22" s="22">
        <v>500.0</v>
      </c>
      <c r="O22" s="22">
        <v>80.0</v>
      </c>
      <c r="P22" s="22">
        <v>110.0</v>
      </c>
      <c r="Q22" s="22">
        <v>40.0</v>
      </c>
      <c r="R22" s="22">
        <v>80.0</v>
      </c>
      <c r="S22" s="22">
        <v>20.0</v>
      </c>
      <c r="T22" s="22">
        <v>10.0</v>
      </c>
      <c r="U22" s="22">
        <v>20.0</v>
      </c>
      <c r="V22" s="21">
        <f t="shared" si="4"/>
        <v>90</v>
      </c>
      <c r="W22" s="22">
        <v>25.0</v>
      </c>
      <c r="X22" s="22">
        <v>15.0</v>
      </c>
      <c r="Y22" s="23">
        <v>50.0</v>
      </c>
      <c r="Z22" s="24">
        <f t="shared" si="5"/>
        <v>55</v>
      </c>
      <c r="AA22" s="22">
        <v>30.0</v>
      </c>
      <c r="AB22" s="22">
        <v>25.0</v>
      </c>
      <c r="AC22" s="25">
        <v>0.15</v>
      </c>
      <c r="AD22" s="26">
        <f t="shared" si="6"/>
        <v>400</v>
      </c>
      <c r="AE22" s="27"/>
      <c r="AF22" s="28"/>
      <c r="AG22" s="29">
        <f t="shared" si="7"/>
        <v>400</v>
      </c>
      <c r="AH22" s="30">
        <f t="shared" si="8"/>
        <v>0.95</v>
      </c>
      <c r="AI22" s="11">
        <v>0.6</v>
      </c>
      <c r="AJ22" s="11">
        <v>0.2</v>
      </c>
      <c r="AK22" s="11">
        <v>0.15</v>
      </c>
      <c r="AL22" s="5">
        <v>0.95</v>
      </c>
      <c r="AM22" s="12">
        <v>0.8</v>
      </c>
      <c r="AN22" s="13">
        <v>0.6</v>
      </c>
      <c r="AO22" s="31">
        <f t="shared" si="9"/>
        <v>8889.75</v>
      </c>
      <c r="AP22" s="35">
        <f t="shared" si="10"/>
        <v>7644</v>
      </c>
      <c r="AQ22" s="33">
        <f t="shared" si="11"/>
        <v>5983</v>
      </c>
      <c r="AR22" s="34">
        <v>10000.0</v>
      </c>
    </row>
    <row r="23">
      <c r="F23" s="3">
        <v>22.0</v>
      </c>
      <c r="G23" s="28"/>
      <c r="H23" s="17">
        <v>1200.0</v>
      </c>
      <c r="I23" s="18">
        <f t="shared" si="1"/>
        <v>200</v>
      </c>
      <c r="J23" s="19">
        <v>100.0</v>
      </c>
      <c r="K23" s="19">
        <v>100.0</v>
      </c>
      <c r="L23" s="20">
        <f t="shared" si="2"/>
        <v>1000</v>
      </c>
      <c r="M23" s="21">
        <f t="shared" si="3"/>
        <v>860</v>
      </c>
      <c r="N23" s="22">
        <v>500.0</v>
      </c>
      <c r="O23" s="22">
        <v>80.0</v>
      </c>
      <c r="P23" s="22">
        <v>110.0</v>
      </c>
      <c r="Q23" s="22">
        <v>40.0</v>
      </c>
      <c r="R23" s="22">
        <v>80.0</v>
      </c>
      <c r="S23" s="22">
        <v>20.0</v>
      </c>
      <c r="T23" s="22">
        <v>10.0</v>
      </c>
      <c r="U23" s="22">
        <v>20.0</v>
      </c>
      <c r="V23" s="21">
        <f t="shared" si="4"/>
        <v>90</v>
      </c>
      <c r="W23" s="22">
        <v>25.0</v>
      </c>
      <c r="X23" s="22">
        <v>15.0</v>
      </c>
      <c r="Y23" s="23">
        <v>50.0</v>
      </c>
      <c r="Z23" s="24">
        <f t="shared" si="5"/>
        <v>55</v>
      </c>
      <c r="AA23" s="22">
        <v>30.0</v>
      </c>
      <c r="AB23" s="22">
        <v>25.0</v>
      </c>
      <c r="AC23" s="25">
        <v>0.15</v>
      </c>
      <c r="AD23" s="26">
        <f t="shared" si="6"/>
        <v>400</v>
      </c>
      <c r="AE23" s="27">
        <v>10.0</v>
      </c>
      <c r="AF23" s="28"/>
      <c r="AG23" s="29">
        <f t="shared" si="7"/>
        <v>390</v>
      </c>
      <c r="AH23" s="30">
        <f t="shared" si="8"/>
        <v>0.95</v>
      </c>
      <c r="AI23" s="11">
        <v>0.6</v>
      </c>
      <c r="AJ23" s="11">
        <v>0.2</v>
      </c>
      <c r="AK23" s="11">
        <v>0.15</v>
      </c>
      <c r="AL23" s="5">
        <v>0.95</v>
      </c>
      <c r="AM23" s="12">
        <v>0.8</v>
      </c>
      <c r="AN23" s="13">
        <v>0.6</v>
      </c>
      <c r="AO23" s="31">
        <f t="shared" si="9"/>
        <v>9260.25</v>
      </c>
      <c r="AP23" s="35">
        <f t="shared" si="10"/>
        <v>7956</v>
      </c>
      <c r="AQ23" s="33">
        <f t="shared" si="11"/>
        <v>6217</v>
      </c>
      <c r="AR23" s="34">
        <v>10000.0</v>
      </c>
    </row>
    <row r="24">
      <c r="F24" s="3">
        <v>23.0</v>
      </c>
      <c r="G24" s="28"/>
      <c r="H24" s="17">
        <v>1200.0</v>
      </c>
      <c r="I24" s="18">
        <f t="shared" si="1"/>
        <v>200</v>
      </c>
      <c r="J24" s="19">
        <v>100.0</v>
      </c>
      <c r="K24" s="19">
        <v>100.0</v>
      </c>
      <c r="L24" s="20">
        <f t="shared" si="2"/>
        <v>1000</v>
      </c>
      <c r="M24" s="21">
        <f t="shared" si="3"/>
        <v>860</v>
      </c>
      <c r="N24" s="22">
        <v>500.0</v>
      </c>
      <c r="O24" s="22">
        <v>80.0</v>
      </c>
      <c r="P24" s="22">
        <v>110.0</v>
      </c>
      <c r="Q24" s="22">
        <v>40.0</v>
      </c>
      <c r="R24" s="22">
        <v>80.0</v>
      </c>
      <c r="S24" s="22">
        <v>20.0</v>
      </c>
      <c r="T24" s="22">
        <v>10.0</v>
      </c>
      <c r="U24" s="22">
        <v>20.0</v>
      </c>
      <c r="V24" s="21">
        <f t="shared" si="4"/>
        <v>90</v>
      </c>
      <c r="W24" s="22">
        <v>25.0</v>
      </c>
      <c r="X24" s="22">
        <v>15.0</v>
      </c>
      <c r="Y24" s="23">
        <v>50.0</v>
      </c>
      <c r="Z24" s="24">
        <f t="shared" si="5"/>
        <v>55</v>
      </c>
      <c r="AA24" s="22">
        <v>30.0</v>
      </c>
      <c r="AB24" s="22">
        <v>25.0</v>
      </c>
      <c r="AC24" s="25">
        <v>0.15</v>
      </c>
      <c r="AD24" s="26">
        <f t="shared" si="6"/>
        <v>400</v>
      </c>
      <c r="AE24" s="27"/>
      <c r="AF24" s="28"/>
      <c r="AG24" s="29">
        <f t="shared" si="7"/>
        <v>400</v>
      </c>
      <c r="AH24" s="30">
        <f t="shared" si="8"/>
        <v>0.95</v>
      </c>
      <c r="AI24" s="11">
        <v>0.6</v>
      </c>
      <c r="AJ24" s="11">
        <v>0.2</v>
      </c>
      <c r="AK24" s="11">
        <v>0.15</v>
      </c>
      <c r="AL24" s="5">
        <v>0.95</v>
      </c>
      <c r="AM24" s="12">
        <v>0.8</v>
      </c>
      <c r="AN24" s="13">
        <v>0.6</v>
      </c>
      <c r="AO24" s="31">
        <f t="shared" si="9"/>
        <v>9640.25</v>
      </c>
      <c r="AP24" s="35">
        <f t="shared" si="10"/>
        <v>8276</v>
      </c>
      <c r="AQ24" s="33">
        <f t="shared" si="11"/>
        <v>6457</v>
      </c>
      <c r="AR24" s="34">
        <v>10000.0</v>
      </c>
    </row>
    <row r="25">
      <c r="F25" s="3">
        <v>24.0</v>
      </c>
      <c r="G25" s="28"/>
      <c r="H25" s="17">
        <v>1200.0</v>
      </c>
      <c r="I25" s="18">
        <f t="shared" si="1"/>
        <v>200</v>
      </c>
      <c r="J25" s="19">
        <v>100.0</v>
      </c>
      <c r="K25" s="19">
        <v>100.0</v>
      </c>
      <c r="L25" s="20">
        <f t="shared" si="2"/>
        <v>1000</v>
      </c>
      <c r="M25" s="21">
        <f t="shared" si="3"/>
        <v>860</v>
      </c>
      <c r="N25" s="22">
        <v>500.0</v>
      </c>
      <c r="O25" s="22">
        <v>80.0</v>
      </c>
      <c r="P25" s="22">
        <v>110.0</v>
      </c>
      <c r="Q25" s="22">
        <v>40.0</v>
      </c>
      <c r="R25" s="22">
        <v>80.0</v>
      </c>
      <c r="S25" s="22">
        <v>20.0</v>
      </c>
      <c r="T25" s="22">
        <v>10.0</v>
      </c>
      <c r="U25" s="22">
        <v>20.0</v>
      </c>
      <c r="V25" s="21">
        <f t="shared" si="4"/>
        <v>90</v>
      </c>
      <c r="W25" s="22">
        <v>25.0</v>
      </c>
      <c r="X25" s="22">
        <v>15.0</v>
      </c>
      <c r="Y25" s="23">
        <v>50.0</v>
      </c>
      <c r="Z25" s="24">
        <f t="shared" si="5"/>
        <v>55</v>
      </c>
      <c r="AA25" s="22">
        <v>30.0</v>
      </c>
      <c r="AB25" s="22">
        <v>25.0</v>
      </c>
      <c r="AC25" s="25">
        <v>0.15</v>
      </c>
      <c r="AD25" s="26">
        <f t="shared" si="6"/>
        <v>400</v>
      </c>
      <c r="AE25" s="27"/>
      <c r="AF25" s="37">
        <v>5.0</v>
      </c>
      <c r="AG25" s="29">
        <f t="shared" si="7"/>
        <v>395</v>
      </c>
      <c r="AH25" s="30">
        <f t="shared" si="8"/>
        <v>0.95</v>
      </c>
      <c r="AI25" s="11">
        <v>0.6</v>
      </c>
      <c r="AJ25" s="11">
        <v>0.2</v>
      </c>
      <c r="AK25" s="11">
        <v>0.15</v>
      </c>
      <c r="AL25" s="5">
        <v>0.95</v>
      </c>
      <c r="AM25" s="12">
        <v>0.8</v>
      </c>
      <c r="AN25" s="13">
        <v>0.6</v>
      </c>
      <c r="AO25" s="31">
        <f t="shared" si="9"/>
        <v>10015.5</v>
      </c>
      <c r="AP25" s="35">
        <f t="shared" si="10"/>
        <v>8592</v>
      </c>
      <c r="AQ25" s="33">
        <f t="shared" si="11"/>
        <v>6694</v>
      </c>
      <c r="AR25" s="34">
        <v>10000.0</v>
      </c>
    </row>
  </sheetData>
  <mergeCells count="2">
    <mergeCell ref="A1:B1"/>
    <mergeCell ref="B13:D24"/>
  </mergeCells>
  <drawing r:id="rId1"/>
</worksheet>
</file>